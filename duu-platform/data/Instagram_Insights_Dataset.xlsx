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937ac1c1d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gram Data" sheetId="1" r:id="R5e5959acf2a1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a25701090499c" /><Relationship Type="http://schemas.openxmlformats.org/officeDocument/2006/relationships/theme" Target="/xl/theme/theme1.xml" Id="Rfa1cafc4011d4463" /><Relationship Type="http://schemas.openxmlformats.org/officeDocument/2006/relationships/sharedStrings" Target="/xl/sharedStrings.xml" Id="Rf1b431b3a11742b5" /><Relationship Type="http://schemas.openxmlformats.org/officeDocument/2006/relationships/worksheet" Target="/xl/worksheets/sheet1.xml" Id="R5e5959acf2a14f7d" /></Relationships>
</file>

<file path=xl/tables/table1.xml><?xml version="1.0" encoding="utf-8"?>
<x:table xmlns:x="http://schemas.openxmlformats.org/spreadsheetml/2006/main" id="1" name="InstagramInsightsData" displayName="InstagramInsightsData" ref="A1:AU13" headerRowCount="1" totalsRowCount="0" totalsRowShown="0">
  <x:autoFilter ref="A1:AU13"/>
  <x:tableColumns count="47">
    <x:tableColumn id="1" name="record_id"/>
    <x:tableColumn id="2" name="match_status"/>
    <x:tableColumn id="3" name="platform"/>
    <x:tableColumn id="4" name="account_or_collaborator"/>
    <x:tableColumn id="5" name="post_date_displayed"/>
    <x:tableColumn id="6" name="post_time_displayed"/>
    <x:tableColumn id="7" name="content_label"/>
    <x:tableColumn id="8" name="content_type"/>
    <x:tableColumn id="9" name="duration_sec"/>
    <x:tableColumn id="10" name="views_total"/>
    <x:tableColumn id="11" name="instagram_views"/>
    <x:tableColumn id="12" name="facebook_views"/>
    <x:tableColumn id="13" name="viewers"/>
    <x:tableColumn id="14" name="follower_views_pct"/>
    <x:tableColumn id="15" name="nonfollower_views_pct"/>
    <x:tableColumn id="16" name="source_feed_pct"/>
    <x:tableColumn id="17" name="source_stories_pct"/>
    <x:tableColumn id="18" name="source_reels_tab_pct"/>
    <x:tableColumn id="19" name="source_profile_pct"/>
    <x:tableColumn id="20" name="source_explore_pct"/>
    <x:tableColumn id="21" name="watch_time_sec"/>
    <x:tableColumn id="22" name="average_watch_time_sec"/>
    <x:tableColumn id="23" name="reel_skip_rate"/>
    <x:tableColumn id="24" name="typical_skip_rate"/>
    <x:tableColumn id="25" name="interactions"/>
    <x:tableColumn id="26" name="follower_interactions_pct"/>
    <x:tableColumn id="27" name="nonfollower_interactions_pct"/>
    <x:tableColumn id="28" name="likes"/>
    <x:tableColumn id="29" name="comments"/>
    <x:tableColumn id="30" name="shares"/>
    <x:tableColumn id="31" name="reposts"/>
    <x:tableColumn id="32" name="saves"/>
    <x:tableColumn id="33" name="profile_activity"/>
    <x:tableColumn id="34" name="profile_visits"/>
    <x:tableColumn id="35" name="external_link_taps"/>
    <x:tableColumn id="36" name="follows"/>
    <x:tableColumn id="37" name="audience_men_pct"/>
    <x:tableColumn id="38" name="audience_women_pct"/>
    <x:tableColumn id="39" name="facebook_reactions"/>
    <x:tableColumn id="40" name="facebook_comments"/>
    <x:tableColumn id="41" name="like_rate"/>
    <x:tableColumn id="42" name="comment_rate"/>
    <x:tableColumn id="43" name="share_rate"/>
    <x:tableColumn id="44" name="save_rate"/>
    <x:tableColumn id="45" name="interaction_rate"/>
    <x:tableColumn id="46" name="source_files"/>
    <x:tableColumn id="4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e034673c6b4ec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55" hidden="0" customWidth="1"/>
    <x:col min="47" max="47" width="72" hidden="0" customWidth="1"/>
  </x:cols>
  <x:sheetData>
    <x:row r="1" ht="42" customHeight="1">
      <x:c r="A1" s="11" t="str">
        <x:v>record_id</x:v>
      </x:c>
      <x:c r="B1" s="12" t="str">
        <x:v>match_status</x:v>
      </x:c>
      <x:c r="C1" s="12" t="str">
        <x:v>platform</x:v>
      </x:c>
      <x:c r="D1" s="12" t="str">
        <x:v>account_or_collaborator</x:v>
      </x:c>
      <x:c r="E1" s="12" t="str">
        <x:v>post_date_displayed</x:v>
      </x:c>
      <x:c r="F1" s="12" t="str">
        <x:v>post_time_displayed</x:v>
      </x:c>
      <x:c r="G1" s="12" t="str">
        <x:v>content_label</x:v>
      </x:c>
      <x:c r="H1" s="12" t="str">
        <x:v>content_type</x:v>
      </x:c>
      <x:c r="I1" s="12" t="str">
        <x:v>duration_sec</x:v>
      </x:c>
      <x:c r="J1" s="12" t="str">
        <x:v>views_total</x:v>
      </x:c>
      <x:c r="K1" s="12" t="str">
        <x:v>instagram_views</x:v>
      </x:c>
      <x:c r="L1" s="12" t="str">
        <x:v>facebook_views</x:v>
      </x:c>
      <x:c r="M1" s="12" t="str">
        <x:v>viewers</x:v>
      </x:c>
      <x:c r="N1" s="12" t="str">
        <x:v>follower_views_pct</x:v>
      </x:c>
      <x:c r="O1" s="12" t="str">
        <x:v>nonfollower_views_pct</x:v>
      </x:c>
      <x:c r="P1" s="12" t="str">
        <x:v>source_feed_pct</x:v>
      </x:c>
      <x:c r="Q1" s="12" t="str">
        <x:v>source_stories_pct</x:v>
      </x:c>
      <x:c r="R1" s="12" t="str">
        <x:v>source_reels_tab_pct</x:v>
      </x:c>
      <x:c r="S1" s="12" t="str">
        <x:v>source_profile_pct</x:v>
      </x:c>
      <x:c r="T1" s="12" t="str">
        <x:v>source_explore_pct</x:v>
      </x:c>
      <x:c r="U1" s="12" t="str">
        <x:v>watch_time_sec</x:v>
      </x:c>
      <x:c r="V1" s="12" t="str">
        <x:v>average_watch_time_sec</x:v>
      </x:c>
      <x:c r="W1" s="12" t="str">
        <x:v>reel_skip_rate</x:v>
      </x:c>
      <x:c r="X1" s="12" t="str">
        <x:v>typical_skip_rate</x:v>
      </x:c>
      <x:c r="Y1" s="12" t="str">
        <x:v>interactions</x:v>
      </x:c>
      <x:c r="Z1" s="12" t="str">
        <x:v>follower_interactions_pct</x:v>
      </x:c>
      <x:c r="AA1" s="12" t="str">
        <x:v>nonfollower_interactions_pct</x:v>
      </x:c>
      <x:c r="AB1" s="12" t="str">
        <x:v>likes</x:v>
      </x:c>
      <x:c r="AC1" s="12" t="str">
        <x:v>comments</x:v>
      </x:c>
      <x:c r="AD1" s="12" t="str">
        <x:v>shares</x:v>
      </x:c>
      <x:c r="AE1" s="12" t="str">
        <x:v>reposts</x:v>
      </x:c>
      <x:c r="AF1" s="12" t="str">
        <x:v>saves</x:v>
      </x:c>
      <x:c r="AG1" s="12" t="str">
        <x:v>profile_activity</x:v>
      </x:c>
      <x:c r="AH1" s="12" t="str">
        <x:v>profile_visits</x:v>
      </x:c>
      <x:c r="AI1" s="12" t="str">
        <x:v>external_link_taps</x:v>
      </x:c>
      <x:c r="AJ1" s="12" t="str">
        <x:v>follows</x:v>
      </x:c>
      <x:c r="AK1" s="12" t="str">
        <x:v>audience_men_pct</x:v>
      </x:c>
      <x:c r="AL1" s="12" t="str">
        <x:v>audience_women_pct</x:v>
      </x:c>
      <x:c r="AM1" s="12" t="str">
        <x:v>facebook_reactions</x:v>
      </x:c>
      <x:c r="AN1" s="12" t="str">
        <x:v>facebook_comments</x:v>
      </x:c>
      <x:c r="AO1" s="12" t="str">
        <x:v>like_rate</x:v>
      </x:c>
      <x:c r="AP1" s="12" t="str">
        <x:v>comment_rate</x:v>
      </x:c>
      <x:c r="AQ1" s="12" t="str">
        <x:v>share_rate</x:v>
      </x:c>
      <x:c r="AR1" s="12" t="str">
        <x:v>save_rate</x:v>
      </x:c>
      <x:c r="AS1" s="12" t="str">
        <x:v>interaction_rate</x:v>
      </x:c>
      <x:c r="AT1" s="12" t="str">
        <x:v>source_files</x:v>
      </x:c>
      <x:c r="AU1" s="13" t="str">
        <x:v>notes</x:v>
      </x:c>
    </x:row>
    <x:row r="2" ht="42" customHeight="1">
      <x:c r="A2" s="2" t="str">
        <x:v>post_2026_09_01_1208</x:v>
      </x:c>
      <x:c r="B2" s="2" t="str">
        <x:v>matched</x:v>
      </x:c>
      <x:c r="C2" s="2" t="str">
        <x:v>Instagram</x:v>
      </x:c>
      <x:c r="D2" s="2" t="str">
        <x:v>dukemusiccollective</x:v>
      </x:c>
      <x:c r="E2" s="2" t="str">
        <x:v>September 1</x:v>
      </x:c>
      <x:c r="F2" s="2" t="str">
        <x:v>12:08 PM</x:v>
      </x:c>
      <x:c r="G2" s="2" t="str">
        <x:v>DMC x STR / interest meeting carousel</x:v>
      </x:c>
      <x:c r="H2" s="2" t="str">
        <x:v>post_or_carousel</x:v>
      </x:c>
      <x:c r="I2" s="14"/>
      <x:c r="J2" s="14" t="n">
        <x:v>2886</x:v>
      </x:c>
      <x:c r="K2" s="14" t="n">
        <x:v>2851</x:v>
      </x:c>
      <x:c r="L2" s="14" t="n">
        <x:v>35</x:v>
      </x:c>
      <x:c r="M2" s="14"/>
      <x:c r="N2" s="15" t="n">
        <x:v>0.557</x:v>
      </x:c>
      <x:c r="O2" s="15" t="n">
        <x:v>0.443</x:v>
      </x:c>
      <x:c r="P2" s="15" t="n">
        <x:v>0.325</x:v>
      </x:c>
      <x:c r="Q2" s="15" t="n">
        <x:v>0.577</x:v>
      </x:c>
      <x:c r="R2" s="15"/>
      <x:c r="S2" s="15" t="n">
        <x:v>0.065</x:v>
      </x:c>
      <x:c r="T2" s="15"/>
      <x:c r="U2" s="14"/>
      <x:c r="V2" s="14"/>
      <x:c r="W2" s="15"/>
      <x:c r="X2" s="15"/>
      <x:c r="Y2" s="14" t="n">
        <x:v>41</x:v>
      </x:c>
      <x:c r="Z2" s="15" t="n">
        <x:v>0.878</x:v>
      </x:c>
      <x:c r="AA2" s="15" t="n">
        <x:v>0.122</x:v>
      </x:c>
      <x:c r="AB2" s="14" t="n">
        <x:v>28</x:v>
      </x:c>
      <x:c r="AC2" s="14" t="n">
        <x:v>0</x:v>
      </x:c>
      <x:c r="AD2" s="14" t="n">
        <x:v>8</x:v>
      </x:c>
      <x:c r="AE2" s="14" t="n">
        <x:v>1</x:v>
      </x:c>
      <x:c r="AF2" s="14" t="n">
        <x:v>4</x:v>
      </x:c>
      <x:c r="AG2" s="14" t="n">
        <x:v>37</x:v>
      </x:c>
      <x:c r="AH2" s="14" t="n">
        <x:v>28</x:v>
      </x:c>
      <x:c r="AI2" s="14" t="n">
        <x:v>8</x:v>
      </x:c>
      <x:c r="AJ2" s="14" t="n">
        <x:v>1</x:v>
      </x:c>
      <x:c r="AK2" s="15" t="n">
        <x:v>0.416</x:v>
      </x:c>
      <x:c r="AL2" s="15" t="n">
        <x:v>0.584</x:v>
      </x:c>
      <x:c r="AM2" s="2"/>
      <x:c r="AN2" s="14"/>
      <x:c r="AO2" s="16" t="n">
        <x:f>IF(OR(ISBLANK(AB2),ISBLANK(J2)),"",AB2/J2)</x:f>
        <x:v>0.009702009702009701</x:v>
      </x:c>
      <x:c r="AP2" s="16" t="n">
        <x:f>IF(OR(ISBLANK(AC2),ISBLANK(J2)),"",AC2/J2)</x:f>
        <x:v>0</x:v>
      </x:c>
      <x:c r="AQ2" s="16" t="n">
        <x:f>IF(OR(ISBLANK(AD2),ISBLANK(J2)),"",AD2/J2)</x:f>
        <x:v>0.002772002772002772</x:v>
      </x:c>
      <x:c r="AR2" s="16" t="n">
        <x:f>IF(OR(ISBLANK(AF2),ISBLANK(J2)),"",AF2/J2)</x:f>
        <x:v>0.001386001386001386</x:v>
      </x:c>
      <x:c r="AS2" s="16" t="n">
        <x:f>IF(OR(ISBLANK(Y2),ISBLANK(J2)),"",Y2/J2)</x:f>
        <x:v>0.014206514206514207</x:v>
      </x:c>
      <x:c r="AT2" s="17" t="str">
        <x:v>E1378009; B6A738BF; 8398A3D3; 40A61BF8</x:v>
      </x:c>
      <x:c r="AU2" s="17" t="str">
        <x:v>All visible metrics reconcile: 28 likes + 0 comments + 8 shares + 1 repost + 4 saves = 41 interactions.</x:v>
      </x:c>
    </x:row>
    <x:row r="3" ht="42" customHeight="1">
      <x:c r="A3" s="2" t="str">
        <x:v>post_2026_09_01_1530</x:v>
      </x:c>
      <x:c r="B3" s="2" t="str">
        <x:v>matched</x:v>
      </x:c>
      <x:c r="C3" s="2" t="str">
        <x:v>Instagram</x:v>
      </x:c>
      <x:c r="D3" s="2" t="str">
        <x:v>cdjatduke and 2 others</x:v>
      </x:c>
      <x:c r="E3" s="2" t="str">
        <x:v>September 1</x:v>
      </x:c>
      <x:c r="F3" s="2" t="str">
        <x:v>3:30 PM</x:v>
      </x:c>
      <x:c r="G3" s="2" t="str">
        <x:v>Duke Music Day</x:v>
      </x:c>
      <x:c r="H3" s="2" t="str">
        <x:v>post_or_carousel</x:v>
      </x:c>
      <x:c r="I3" s="14"/>
      <x:c r="J3" s="14" t="n">
        <x:v>6748</x:v>
      </x:c>
      <x:c r="K3" s="14"/>
      <x:c r="L3" s="14"/>
      <x:c r="M3" s="14"/>
      <x:c r="N3" s="15" t="n">
        <x:v>0.321</x:v>
      </x:c>
      <x:c r="O3" s="15" t="n">
        <x:v>0.679</x:v>
      </x:c>
      <x:c r="P3" s="15" t="n">
        <x:v>0.537</x:v>
      </x:c>
      <x:c r="Q3" s="15" t="n">
        <x:v>0.287</x:v>
      </x:c>
      <x:c r="R3" s="15"/>
      <x:c r="S3" s="15" t="n">
        <x:v>0.152</x:v>
      </x:c>
      <x:c r="T3" s="15"/>
      <x:c r="U3" s="14"/>
      <x:c r="V3" s="14"/>
      <x:c r="W3" s="15"/>
      <x:c r="X3" s="15"/>
      <x:c r="Y3" s="14" t="n">
        <x:v>135</x:v>
      </x:c>
      <x:c r="Z3" s="15" t="n">
        <x:v>0.431</x:v>
      </x:c>
      <x:c r="AA3" s="15" t="n">
        <x:v>0.569</x:v>
      </x:c>
      <x:c r="AB3" s="14" t="n">
        <x:v>108</x:v>
      </x:c>
      <x:c r="AC3" s="14" t="n">
        <x:v>5</x:v>
      </x:c>
      <x:c r="AD3" s="14" t="n">
        <x:v>16</x:v>
      </x:c>
      <x:c r="AE3" s="14" t="n">
        <x:v>4</x:v>
      </x:c>
      <x:c r="AF3" s="14" t="n">
        <x:v>2</x:v>
      </x:c>
      <x:c r="AG3" s="14"/>
      <x:c r="AH3" s="14"/>
      <x:c r="AI3" s="14"/>
      <x:c r="AJ3" s="14"/>
      <x:c r="AK3" s="15"/>
      <x:c r="AL3" s="15"/>
      <x:c r="AM3" s="2"/>
      <x:c r="AN3" s="14"/>
      <x:c r="AO3" s="16" t="n">
        <x:f>IF(OR(ISBLANK(AB3),ISBLANK(J3)),"",AB3/J3)</x:f>
        <x:v>0.016004742145820983</x:v>
      </x:c>
      <x:c r="AP3" s="16" t="n">
        <x:f>IF(OR(ISBLANK(AC3),ISBLANK(J3)),"",AC3/J3)</x:f>
        <x:v>0.0007409602845287492</x:v>
      </x:c>
      <x:c r="AQ3" s="16" t="n">
        <x:f>IF(OR(ISBLANK(AD3),ISBLANK(J3)),"",AD3/J3)</x:f>
        <x:v>0.0023710729104919974</x:v>
      </x:c>
      <x:c r="AR3" s="16" t="n">
        <x:f>IF(OR(ISBLANK(AF3),ISBLANK(J3)),"",AF3/J3)</x:f>
        <x:v>0.0002963841138114997</x:v>
      </x:c>
      <x:c r="AS3" s="16" t="n">
        <x:f>IF(OR(ISBLANK(Y3),ISBLANK(J3)),"",Y3/J3)</x:f>
        <x:v>0.02000592768227623</x:v>
      </x:c>
      <x:c r="AT3" s="17" t="str">
        <x:v>369BBF90; 611A3B3C; F48DBBAC; 02A54670</x:v>
      </x:c>
      <x:c r="AU3" s="17" t="str">
        <x:v>All visible interaction metrics reconcile to 135.</x:v>
      </x:c>
    </x:row>
    <x:row r="4" ht="42" customHeight="1">
      <x:c r="A4" s="2" t="str">
        <x:v>post_2026_09_02_1621</x:v>
      </x:c>
      <x:c r="B4" s="2" t="str">
        <x:v>matched</x:v>
      </x:c>
      <x:c r="C4" s="2" t="str">
        <x:v>Instagram</x:v>
      </x:c>
      <x:c r="D4" s="2" t="str">
        <x:v>dukemusiccollective</x:v>
      </x:c>
      <x:c r="E4" s="2" t="str">
        <x:v>September 2</x:v>
      </x:c>
      <x:c r="F4" s="2" t="str">
        <x:v>4:21 PM</x:v>
      </x:c>
      <x:c r="G4" s="2" t="str">
        <x:v>DMC x STR / interest meeting</x:v>
      </x:c>
      <x:c r="H4" s="2" t="str">
        <x:v>post_or_carousel</x:v>
      </x:c>
      <x:c r="I4" s="14"/>
      <x:c r="J4" s="14" t="n">
        <x:v>3581</x:v>
      </x:c>
      <x:c r="K4" s="14"/>
      <x:c r="L4" s="14"/>
      <x:c r="M4" s="14"/>
      <x:c r="N4" s="15"/>
      <x:c r="O4" s="15"/>
      <x:c r="P4" s="15"/>
      <x:c r="Q4" s="15"/>
      <x:c r="R4" s="15"/>
      <x:c r="S4" s="15"/>
      <x:c r="T4" s="15"/>
      <x:c r="U4" s="14"/>
      <x:c r="V4" s="14"/>
      <x:c r="W4" s="15"/>
      <x:c r="X4" s="15"/>
      <x:c r="Y4" s="14" t="n">
        <x:v>46</x:v>
      </x:c>
      <x:c r="Z4" s="15"/>
      <x:c r="AA4" s="15"/>
      <x:c r="AB4" s="14" t="n">
        <x:v>37</x:v>
      </x:c>
      <x:c r="AC4" s="14" t="n">
        <x:v>1</x:v>
      </x:c>
      <x:c r="AD4" s="14" t="n">
        <x:v>8</x:v>
      </x:c>
      <x:c r="AE4" s="14" t="n">
        <x:v>0</x:v>
      </x:c>
      <x:c r="AF4" s="14" t="n">
        <x:v>0</x:v>
      </x:c>
      <x:c r="AG4" s="14"/>
      <x:c r="AH4" s="14"/>
      <x:c r="AI4" s="14"/>
      <x:c r="AJ4" s="14"/>
      <x:c r="AK4" s="15" t="n">
        <x:v>0.437</x:v>
      </x:c>
      <x:c r="AL4" s="15" t="n">
        <x:v>0.563</x:v>
      </x:c>
      <x:c r="AM4" s="2"/>
      <x:c r="AN4" s="14"/>
      <x:c r="AO4" s="16" t="n">
        <x:f>IF(OR(ISBLANK(AB4),ISBLANK(J4)),"",AB4/J4)</x:f>
        <x:v>0.010332309410779112</x:v>
      </x:c>
      <x:c r="AP4" s="16" t="n">
        <x:f>IF(OR(ISBLANK(AC4),ISBLANK(J4)),"",AC4/J4)</x:f>
        <x:v>0.00027925160569673273</x:v>
      </x:c>
      <x:c r="AQ4" s="16" t="n">
        <x:f>IF(OR(ISBLANK(AD4),ISBLANK(J4)),"",AD4/J4)</x:f>
        <x:v>0.002234012845573862</x:v>
      </x:c>
      <x:c r="AR4" s="16" t="n">
        <x:f>IF(OR(ISBLANK(AF4),ISBLANK(J4)),"",AF4/J4)</x:f>
        <x:v>0</x:v>
      </x:c>
      <x:c r="AS4" s="16" t="n">
        <x:f>IF(OR(ISBLANK(Y4),ISBLANK(J4)),"",Y4/J4)</x:f>
        <x:v>0.012845573862049707</x:v>
      </x:c>
      <x:c r="AT4" s="17" t="str">
        <x:v>85ACA8D9; E5B9CAA3</x:v>
      </x:c>
      <x:c r="AU4" s="17" t="str">
        <x:v>All visible interaction metrics reconcile to 46.</x:v>
      </x:c>
    </x:row>
    <x:row r="5" ht="42" customHeight="1">
      <x:c r="A5" s="2" t="str">
        <x:v>post_2026_09_03_1040</x:v>
      </x:c>
      <x:c r="B5" s="2" t="str">
        <x:v>matched</x:v>
      </x:c>
      <x:c r="C5" s="2" t="str">
        <x:v>Instagram</x:v>
      </x:c>
      <x:c r="D5" s="2" t="str">
        <x:v>dukemusiccollective</x:v>
      </x:c>
      <x:c r="E5" s="2" t="str">
        <x:v>September 3</x:v>
      </x:c>
      <x:c r="F5" s="2" t="str">
        <x:v>10:40 AM</x:v>
      </x:c>
      <x:c r="G5" s="2" t="str">
        <x:v>Duke Music Day / committee announcements</x:v>
      </x:c>
      <x:c r="H5" s="2" t="str">
        <x:v>post_or_carousel</x:v>
      </x:c>
      <x:c r="I5" s="14"/>
      <x:c r="J5" s="14" t="n">
        <x:v>2444</x:v>
      </x:c>
      <x:c r="K5" s="14"/>
      <x:c r="L5" s="14"/>
      <x:c r="M5" s="14"/>
      <x:c r="N5" s="15" t="n">
        <x:v>0.64</x:v>
      </x:c>
      <x:c r="O5" s="15" t="n">
        <x:v>0.36</x:v>
      </x:c>
      <x:c r="P5" s="15" t="n">
        <x:v>0.572</x:v>
      </x:c>
      <x:c r="Q5" s="15" t="n">
        <x:v>0.241</x:v>
      </x:c>
      <x:c r="R5" s="15"/>
      <x:c r="S5" s="15"/>
      <x:c r="T5" s="15"/>
      <x:c r="U5" s="14"/>
      <x:c r="V5" s="14"/>
      <x:c r="W5" s="15"/>
      <x:c r="X5" s="15"/>
      <x:c r="Y5" s="14" t="n">
        <x:v>38</x:v>
      </x:c>
      <x:c r="Z5" s="15"/>
      <x:c r="AA5" s="15"/>
      <x:c r="AB5" s="14" t="n">
        <x:v>31</x:v>
      </x:c>
      <x:c r="AC5" s="14" t="n">
        <x:v>0</x:v>
      </x:c>
      <x:c r="AD5" s="14" t="n">
        <x:v>5</x:v>
      </x:c>
      <x:c r="AE5" s="14" t="n">
        <x:v>1</x:v>
      </x:c>
      <x:c r="AF5" s="14" t="n">
        <x:v>1</x:v>
      </x:c>
      <x:c r="AG5" s="14"/>
      <x:c r="AH5" s="14"/>
      <x:c r="AI5" s="14"/>
      <x:c r="AJ5" s="14"/>
      <x:c r="AK5" s="15" t="n">
        <x:v>0.418</x:v>
      </x:c>
      <x:c r="AL5" s="15" t="n">
        <x:v>0.582</x:v>
      </x:c>
      <x:c r="AM5" s="2"/>
      <x:c r="AN5" s="14"/>
      <x:c r="AO5" s="16" t="n">
        <x:f>IF(OR(ISBLANK(AB5),ISBLANK(J5)),"",AB5/J5)</x:f>
        <x:v>0.012684124386252046</x:v>
      </x:c>
      <x:c r="AP5" s="16" t="n">
        <x:f>IF(OR(ISBLANK(AC5),ISBLANK(J5)),"",AC5/J5)</x:f>
        <x:v>0</x:v>
      </x:c>
      <x:c r="AQ5" s="16" t="n">
        <x:f>IF(OR(ISBLANK(AD5),ISBLANK(J5)),"",AD5/J5)</x:f>
        <x:v>0.0020458265139116204</x:v>
      </x:c>
      <x:c r="AR5" s="16" t="n">
        <x:f>IF(OR(ISBLANK(AF5),ISBLANK(J5)),"",AF5/J5)</x:f>
        <x:v>0.0004091653027823241</x:v>
      </x:c>
      <x:c r="AS5" s="16" t="n">
        <x:f>IF(OR(ISBLANK(Y5),ISBLANK(J5)),"",Y5/J5)</x:f>
        <x:v>0.015548281505728314</x:v>
      </x:c>
      <x:c r="AT5" s="17" t="str">
        <x:v>7448F2DD; FC24877C; A0A229BB</x:v>
      </x:c>
      <x:c r="AU5" s="17" t="str">
        <x:v>All visible interaction metrics reconcile to 38.</x:v>
      </x:c>
    </x:row>
    <x:row r="6" ht="42" customHeight="1">
      <x:c r="A6" s="2" t="str">
        <x:v>post_2026_09_12_1234</x:v>
      </x:c>
      <x:c r="B6" s="2" t="str">
        <x:v>matched</x:v>
      </x:c>
      <x:c r="C6" s="2" t="str">
        <x:v>Instagram</x:v>
      </x:c>
      <x:c r="D6" s="2" t="str">
        <x:v>dukemusiccollective and 3 others</x:v>
      </x:c>
      <x:c r="E6" s="2" t="str">
        <x:v>September 12</x:v>
      </x:c>
      <x:c r="F6" s="2" t="str">
        <x:v>12:34 PM</x:v>
      </x:c>
      <x:c r="G6" s="2" t="str">
        <x:v>Duke Music Day</x:v>
      </x:c>
      <x:c r="H6" s="2" t="str">
        <x:v>carousel</x:v>
      </x:c>
      <x:c r="I6" s="14"/>
      <x:c r="J6" s="14" t="n">
        <x:v>30158</x:v>
      </x:c>
      <x:c r="K6" s="14"/>
      <x:c r="L6" s="14"/>
      <x:c r="M6" s="14"/>
      <x:c r="N6" s="15" t="n">
        <x:v>0.269</x:v>
      </x:c>
      <x:c r="O6" s="15" t="n">
        <x:v>0.731</x:v>
      </x:c>
      <x:c r="P6" s="15" t="n">
        <x:v>0.419</x:v>
      </x:c>
      <x:c r="Q6" s="15" t="n">
        <x:v>0.487</x:v>
      </x:c>
      <x:c r="R6" s="15"/>
      <x:c r="S6" s="15" t="n">
        <x:v>0.062</x:v>
      </x:c>
      <x:c r="T6" s="15"/>
      <x:c r="U6" s="14"/>
      <x:c r="V6" s="14"/>
      <x:c r="W6" s="15"/>
      <x:c r="X6" s="15"/>
      <x:c r="Y6" s="14" t="n">
        <x:v>611</x:v>
      </x:c>
      <x:c r="Z6" s="15" t="n">
        <x:v>0.229</x:v>
      </x:c>
      <x:c r="AA6" s="15" t="n">
        <x:v>0.771</x:v>
      </x:c>
      <x:c r="AB6" s="14" t="n">
        <x:v>318</x:v>
      </x:c>
      <x:c r="AC6" s="14" t="n">
        <x:v>17</x:v>
      </x:c>
      <x:c r="AD6" s="14" t="n">
        <x:v>226</x:v>
      </x:c>
      <x:c r="AE6" s="14" t="n">
        <x:v>22</x:v>
      </x:c>
      <x:c r="AF6" s="14" t="n">
        <x:v>28</x:v>
      </x:c>
      <x:c r="AG6" s="14"/>
      <x:c r="AH6" s="14"/>
      <x:c r="AI6" s="14"/>
      <x:c r="AJ6" s="14"/>
      <x:c r="AK6" s="15" t="n">
        <x:v>0.569</x:v>
      </x:c>
      <x:c r="AL6" s="15" t="n">
        <x:v>0.431</x:v>
      </x:c>
      <x:c r="AM6" s="2"/>
      <x:c r="AN6" s="14"/>
      <x:c r="AO6" s="16" t="n">
        <x:f>IF(OR(ISBLANK(AB6),ISBLANK(J6)),"",AB6/J6)</x:f>
        <x:v>0.01054446581338285</x:v>
      </x:c>
      <x:c r="AP6" s="16" t="n">
        <x:f>IF(OR(ISBLANK(AC6),ISBLANK(J6)),"",AC6/J6)</x:f>
        <x:v>0.0005636978579481398</x:v>
      </x:c>
      <x:c r="AQ6" s="16" t="n">
        <x:f>IF(OR(ISBLANK(AD6),ISBLANK(J6)),"",AD6/J6)</x:f>
        <x:v>0.0074938656409576235</x:v>
      </x:c>
      <x:c r="AR6" s="16" t="n">
        <x:f>IF(OR(ISBLANK(AF6),ISBLANK(J6)),"",AF6/J6)</x:f>
        <x:v>0.0009284435307381126</x:v>
      </x:c>
      <x:c r="AS6" s="16" t="n">
        <x:f>IF(OR(ISBLANK(Y6),ISBLANK(J6)),"",Y6/J6)</x:f>
        <x:v>0.02025996418860667</x:v>
      </x:c>
      <x:c r="AT6" s="17" t="str">
        <x:v>96849F98; 74D186A0; D569A909; 19AF6F4E; AE3F1C78; a23abb24; A1F67C17; f356015d</x:v>
      </x:c>
      <x:c r="AU6" s="17" t="str">
        <x:v>Duplicate screenshots were consolidated. All visible interaction metrics reconcile to 611.</x:v>
      </x:c>
    </x:row>
    <x:row r="7" ht="42" customHeight="1">
      <x:c r="A7" s="2" t="str">
        <x:v>post_2026_09_15</x:v>
      </x:c>
      <x:c r="B7" s="2" t="str">
        <x:v>matched</x:v>
      </x:c>
      <x:c r="C7" s="2" t="str">
        <x:v>Instagram</x:v>
      </x:c>
      <x:c r="D7" s="2" t="str">
        <x:v>dukemusiccollective</x:v>
      </x:c>
      <x:c r="E7" s="2" t="str">
        <x:v>September 15</x:v>
      </x:c>
      <x:c r="F7" s="2"/>
      <x:c r="G7" s="2" t="str">
        <x:v>Let the STR reels era begin</x:v>
      </x:c>
      <x:c r="H7" s="2" t="str">
        <x:v>reel</x:v>
      </x:c>
      <x:c r="I7" s="14" t="n">
        <x:v>6</x:v>
      </x:c>
      <x:c r="J7" s="14" t="n">
        <x:v>5568</x:v>
      </x:c>
      <x:c r="K7" s="14" t="n">
        <x:v>5362</x:v>
      </x:c>
      <x:c r="L7" s="14" t="n">
        <x:v>206</x:v>
      </x:c>
      <x:c r="M7" s="14" t="n">
        <x:v>2862</x:v>
      </x:c>
      <x:c r="N7" s="15" t="n">
        <x:v>0.115</x:v>
      </x:c>
      <x:c r="O7" s="15" t="n">
        <x:v>0.885</x:v>
      </x:c>
      <x:c r="P7" s="15" t="n">
        <x:v>0.234</x:v>
      </x:c>
      <x:c r="Q7" s="15" t="n">
        <x:v>0.076</x:v>
      </x:c>
      <x:c r="R7" s="15" t="n">
        <x:v>0.587</x:v>
      </x:c>
      <x:c r="S7" s="15" t="n">
        <x:v>0.015</x:v>
      </x:c>
      <x:c r="T7" s="15" t="n">
        <x:v>0.068</x:v>
      </x:c>
      <x:c r="U7" s="14" t="n">
        <x:v>18898</x:v>
      </x:c>
      <x:c r="V7" s="14" t="n">
        <x:v>6</x:v>
      </x:c>
      <x:c r="W7" s="15" t="n">
        <x:v>0.357</x:v>
      </x:c>
      <x:c r="X7" s="15" t="n">
        <x:v>0.611</x:v>
      </x:c>
      <x:c r="Y7" s="14" t="n">
        <x:v>151</x:v>
      </x:c>
      <x:c r="Z7" s="15" t="n">
        <x:v>0.429</x:v>
      </x:c>
      <x:c r="AA7" s="15" t="n">
        <x:v>0.571</x:v>
      </x:c>
      <x:c r="AB7" s="14" t="n">
        <x:v>120</x:v>
      </x:c>
      <x:c r="AC7" s="14" t="n">
        <x:v>9</x:v>
      </x:c>
      <x:c r="AD7" s="14" t="n">
        <x:v>15</x:v>
      </x:c>
      <x:c r="AE7" s="14" t="n">
        <x:v>2</x:v>
      </x:c>
      <x:c r="AF7" s="14" t="n">
        <x:v>5</x:v>
      </x:c>
      <x:c r="AG7" s="14" t="n">
        <x:v>4</x:v>
      </x:c>
      <x:c r="AH7" s="14"/>
      <x:c r="AI7" s="14"/>
      <x:c r="AJ7" s="14" t="n">
        <x:v>4</x:v>
      </x:c>
      <x:c r="AK7" s="15" t="n">
        <x:v>0.82</x:v>
      </x:c>
      <x:c r="AL7" s="15" t="n">
        <x:v>0.18</x:v>
      </x:c>
      <x:c r="AM7" s="2"/>
      <x:c r="AN7" s="14"/>
      <x:c r="AO7" s="16" t="n">
        <x:f>IF(OR(ISBLANK(AB7),ISBLANK(J7)),"",AB7/J7)</x:f>
        <x:v>0.021551724137931036</x:v>
      </x:c>
      <x:c r="AP7" s="16" t="n">
        <x:f>IF(OR(ISBLANK(AC7),ISBLANK(J7)),"",AC7/J7)</x:f>
        <x:v>0.0016163793103448276</x:v>
      </x:c>
      <x:c r="AQ7" s="16" t="n">
        <x:f>IF(OR(ISBLANK(AD7),ISBLANK(J7)),"",AD7/J7)</x:f>
        <x:v>0.0026939655172413795</x:v>
      </x:c>
      <x:c r="AR7" s="16" t="n">
        <x:f>IF(OR(ISBLANK(AF7),ISBLANK(J7)),"",AF7/J7)</x:f>
        <x:v>0.0008979885057471264</x:v>
      </x:c>
      <x:c r="AS7" s="16" t="n">
        <x:f>IF(OR(ISBLANK(Y7),ISBLANK(J7)),"",Y7/J7)</x:f>
        <x:v>0.027119252873563218</x:v>
      </x:c>
      <x:c r="AT7" s="17" t="str">
        <x:v>78C53B76; 5AC5DC6B; 6027DE25; DFD3B019; 86687EDC; 1A135F3A</x:v>
      </x:c>
      <x:c r="AU7" s="17" t="str">
        <x:v>All visible interaction metrics reconcile to 151.</x:v>
      </x:c>
    </x:row>
    <x:row r="8" ht="42" customHeight="1">
      <x:c r="A8" s="2" t="str">
        <x:v>post_2026_09_17_1606</x:v>
      </x:c>
      <x:c r="B8" s="2" t="str">
        <x:v>matched</x:v>
      </x:c>
      <x:c r="C8" s="2" t="str">
        <x:v>Instagram</x:v>
      </x:c>
      <x:c r="D8" s="2"/>
      <x:c r="E8" s="2" t="str">
        <x:v>September 17</x:v>
      </x:c>
      <x:c r="F8" s="2" t="str">
        <x:v>4:06 PM</x:v>
      </x:c>
      <x:c r="G8" s="2" t="str">
        <x:v>Post shown in screenshot</x:v>
      </x:c>
      <x:c r="H8" s="2" t="str">
        <x:v>unknown</x:v>
      </x:c>
      <x:c r="I8" s="14"/>
      <x:c r="J8" s="14" t="n">
        <x:v>267</x:v>
      </x:c>
      <x:c r="K8" s="14"/>
      <x:c r="L8" s="14"/>
      <x:c r="M8" s="14" t="n">
        <x:v>141</x:v>
      </x:c>
      <x:c r="N8" s="15" t="n">
        <x:v>0.989</x:v>
      </x:c>
      <x:c r="O8" s="15" t="n">
        <x:v>0.011</x:v>
      </x:c>
      <x:c r="P8" s="15"/>
      <x:c r="Q8" s="15"/>
      <x:c r="R8" s="15"/>
      <x:c r="S8" s="15"/>
      <x:c r="T8" s="15"/>
      <x:c r="U8" s="14"/>
      <x:c r="V8" s="14"/>
      <x:c r="W8" s="15"/>
      <x:c r="X8" s="15"/>
      <x:c r="Y8" s="14" t="n">
        <x:v>3</x:v>
      </x:c>
      <x:c r="Z8" s="15"/>
      <x:c r="AA8" s="15"/>
      <x:c r="AB8" s="14"/>
      <x:c r="AC8" s="14"/>
      <x:c r="AD8" s="14"/>
      <x:c r="AE8" s="14"/>
      <x:c r="AF8" s="14"/>
      <x:c r="AG8" s="14" t="n">
        <x:v>3</x:v>
      </x:c>
      <x:c r="AH8" s="14" t="n">
        <x:v>2</x:v>
      </x:c>
      <x:c r="AI8" s="14" t="n">
        <x:v>1</x:v>
      </x:c>
      <x:c r="AJ8" s="14" t="n">
        <x:v>0</x:v>
      </x:c>
      <x:c r="AK8" s="15" t="n">
        <x:v>0.474</x:v>
      </x:c>
      <x:c r="AL8" s="15" t="n">
        <x:v>0.526</x:v>
      </x:c>
      <x:c r="AM8" s="2"/>
      <x:c r="AN8" s="14"/>
      <x:c r="AO8" s="16" t="str">
        <x:f>IF(OR(ISBLANK(AB8),ISBLANK(J8)),"",AB8/J8)</x:f>
      </x:c>
      <x:c r="AP8" s="16" t="str">
        <x:f>IF(OR(ISBLANK(AC8),ISBLANK(J8)),"",AC8/J8)</x:f>
      </x:c>
      <x:c r="AQ8" s="16" t="str">
        <x:f>IF(OR(ISBLANK(AD8),ISBLANK(J8)),"",AD8/J8)</x:f>
      </x:c>
      <x:c r="AR8" s="16" t="str">
        <x:f>IF(OR(ISBLANK(AF8),ISBLANK(J8)),"",AF8/J8)</x:f>
      </x:c>
      <x:c r="AS8" s="16" t="n">
        <x:f>IF(OR(ISBLANK(Y8),ISBLANK(J8)),"",Y8/J8)</x:f>
        <x:v>0.011235955056179775</x:v>
      </x:c>
      <x:c r="AT8" s="17" t="str">
        <x:v>2C817CEE; 06A1E1F0; 865A0035</x:v>
      </x:c>
      <x:c r="AU8" s="17" t="str">
        <x:v>Interaction breakdown was not visible.</x:v>
      </x:c>
    </x:row>
    <x:row r="9" ht="42" customHeight="1">
      <x:c r="A9" s="2" t="str">
        <x:v>post_2026_09_17_gothic_grill</x:v>
      </x:c>
      <x:c r="B9" s="2" t="str">
        <x:v>matched</x:v>
      </x:c>
      <x:c r="C9" s="2" t="str">
        <x:v>Instagram</x:v>
      </x:c>
      <x:c r="D9" s="2" t="str">
        <x:v>dukemusiccollective and 1 other</x:v>
      </x:c>
      <x:c r="E9" s="2" t="str">
        <x:v>September 17</x:v>
      </x:c>
      <x:c r="F9" s="2"/>
      <x:c r="G9" s="2" t="str">
        <x:v>GOTHIC GRILL TMRW 4PM</x:v>
      </x:c>
      <x:c r="H9" s="2" t="str">
        <x:v>reel</x:v>
      </x:c>
      <x:c r="I9" s="14" t="n">
        <x:v>16</x:v>
      </x:c>
      <x:c r="J9" s="14" t="n">
        <x:v>4889</x:v>
      </x:c>
      <x:c r="K9" s="14" t="n">
        <x:v>4608</x:v>
      </x:c>
      <x:c r="L9" s="14" t="n">
        <x:v>281</x:v>
      </x:c>
      <x:c r="M9" s="14" t="n">
        <x:v>635</x:v>
      </x:c>
      <x:c r="N9" s="15"/>
      <x:c r="O9" s="15"/>
      <x:c r="P9" s="15"/>
      <x:c r="Q9" s="15"/>
      <x:c r="R9" s="15" t="n">
        <x:v>0.159</x:v>
      </x:c>
      <x:c r="S9" s="15" t="n">
        <x:v>0.021</x:v>
      </x:c>
      <x:c r="T9" s="15" t="n">
        <x:v>0.002</x:v>
      </x:c>
      <x:c r="U9" s="14" t="n">
        <x:v>16064</x:v>
      </x:c>
      <x:c r="V9" s="14" t="n">
        <x:v>5</x:v>
      </x:c>
      <x:c r="W9" s="15" t="n">
        <x:v>0.708</x:v>
      </x:c>
      <x:c r="X9" s="15"/>
      <x:c r="Y9" s="14" t="n">
        <x:v>101</x:v>
      </x:c>
      <x:c r="Z9" s="15" t="n">
        <x:v>0.125</x:v>
      </x:c>
      <x:c r="AA9" s="15" t="n">
        <x:v>0.875</x:v>
      </x:c>
      <x:c r="AB9" s="14" t="n">
        <x:v>72</x:v>
      </x:c>
      <x:c r="AC9" s="14" t="n">
        <x:v>5</x:v>
      </x:c>
      <x:c r="AD9" s="14" t="n">
        <x:v>19</x:v>
      </x:c>
      <x:c r="AE9" s="14" t="n">
        <x:v>4</x:v>
      </x:c>
      <x:c r="AF9" s="14" t="n">
        <x:v>1</x:v>
      </x:c>
      <x:c r="AG9" s="14"/>
      <x:c r="AH9" s="14"/>
      <x:c r="AI9" s="14"/>
      <x:c r="AJ9" s="14"/>
      <x:c r="AK9" s="15" t="n">
        <x:v>0.632</x:v>
      </x:c>
      <x:c r="AL9" s="15" t="n">
        <x:v>0.368</x:v>
      </x:c>
      <x:c r="AM9" s="2" t="n">
        <x:v>1</x:v>
      </x:c>
      <x:c r="AN9" s="14" t="n">
        <x:v>0</x:v>
      </x:c>
      <x:c r="AO9" s="16" t="n">
        <x:f>IF(OR(ISBLANK(AB9),ISBLANK(J9)),"",AB9/J9)</x:f>
        <x:v>0.014726938024135815</x:v>
      </x:c>
      <x:c r="AP9" s="16" t="n">
        <x:f>IF(OR(ISBLANK(AC9),ISBLANK(J9)),"",AC9/J9)</x:f>
        <x:v>0.0010227040294538761</x:v>
      </x:c>
      <x:c r="AQ9" s="16" t="n">
        <x:f>IF(OR(ISBLANK(AD9),ISBLANK(J9)),"",AD9/J9)</x:f>
        <x:v>0.003886275311924729</x:v>
      </x:c>
      <x:c r="AR9" s="16" t="n">
        <x:f>IF(OR(ISBLANK(AF9),ISBLANK(J9)),"",AF9/J9)</x:f>
        <x:v>0.00020454080589077522</x:v>
      </x:c>
      <x:c r="AS9" s="16" t="n">
        <x:f>IF(OR(ISBLANK(Y9),ISBLANK(J9)),"",Y9/J9)</x:f>
        <x:v>0.020658621394968296</x:v>
      </x:c>
      <x:c r="AT9" s="17" t="str">
        <x:v>B092C3FB; 9F697064; A9ED8BC0; 3BF04CB8; B1AF1EB1</x:v>
      </x:c>
      <x:c r="AU9" s="17" t="str">
        <x:v>The header showed 73 likes, but the detailed interaction page showed 72; 72 is used because it reconciles exactly to 101 interactions.</x:v>
      </x:c>
    </x:row>
    <x:row r="10" ht="42" customHeight="1">
      <x:c r="A10" s="2" t="str">
        <x:v>post_2026_09_18_artist_manager</x:v>
      </x:c>
      <x:c r="B10" s="2" t="str">
        <x:v>matched</x:v>
      </x:c>
      <x:c r="C10" s="2" t="str">
        <x:v>Instagram</x:v>
      </x:c>
      <x:c r="D10" s="2"/>
      <x:c r="E10" s="2" t="str">
        <x:v>September 18</x:v>
      </x:c>
      <x:c r="F10" s="2"/>
      <x:c r="G10" s="2" t="str">
        <x:v>Artist Manager Applications Close</x:v>
      </x:c>
      <x:c r="H10" s="2" t="str">
        <x:v>reel</x:v>
      </x:c>
      <x:c r="I10" s="14" t="n">
        <x:v>23</x:v>
      </x:c>
      <x:c r="J10" s="14" t="n">
        <x:v>1086</x:v>
      </x:c>
      <x:c r="K10" s="14" t="n">
        <x:v>1014</x:v>
      </x:c>
      <x:c r="L10" s="14" t="n">
        <x:v>72</x:v>
      </x:c>
      <x:c r="M10" s="14"/>
      <x:c r="N10" s="15" t="n">
        <x:v>0.263</x:v>
      </x:c>
      <x:c r="O10" s="15" t="n">
        <x:v>0.737</x:v>
      </x:c>
      <x:c r="P10" s="15" t="n">
        <x:v>0.597</x:v>
      </x:c>
      <x:c r="Q10" s="15" t="n">
        <x:v>0.193</x:v>
      </x:c>
      <x:c r="R10" s="15" t="n">
        <x:v>0.159</x:v>
      </x:c>
      <x:c r="S10" s="15"/>
      <x:c r="T10" s="15"/>
      <x:c r="U10" s="14" t="n">
        <x:v>4793</x:v>
      </x:c>
      <x:c r="V10" s="14" t="n">
        <x:v>7</x:v>
      </x:c>
      <x:c r="W10" s="15" t="n">
        <x:v>0.692</x:v>
      </x:c>
      <x:c r="X10" s="15" t="n">
        <x:v>0.604</x:v>
      </x:c>
      <x:c r="Y10" s="14" t="n">
        <x:v>34</x:v>
      </x:c>
      <x:c r="Z10" s="15" t="n">
        <x:v>0.8</x:v>
      </x:c>
      <x:c r="AA10" s="15" t="n">
        <x:v>0.2</x:v>
      </x:c>
      <x:c r="AB10" s="14" t="n">
        <x:v>27</x:v>
      </x:c>
      <x:c r="AC10" s="14" t="n">
        <x:v>1</x:v>
      </x:c>
      <x:c r="AD10" s="14" t="n">
        <x:v>3</x:v>
      </x:c>
      <x:c r="AE10" s="14" t="n">
        <x:v>0</x:v>
      </x:c>
      <x:c r="AF10" s="14" t="n">
        <x:v>3</x:v>
      </x:c>
      <x:c r="AG10" s="14" t="n">
        <x:v>0</x:v>
      </x:c>
      <x:c r="AH10" s="14"/>
      <x:c r="AI10" s="14"/>
      <x:c r="AJ10" s="14"/>
      <x:c r="AK10" s="15" t="n">
        <x:v>0.538</x:v>
      </x:c>
      <x:c r="AL10" s="15" t="n">
        <x:v>0.462</x:v>
      </x:c>
      <x:c r="AM10" s="2" t="n">
        <x:v>1</x:v>
      </x:c>
      <x:c r="AN10" s="14" t="n">
        <x:v>1</x:v>
      </x:c>
      <x:c r="AO10" s="16" t="n">
        <x:f>IF(OR(ISBLANK(AB10),ISBLANK(J10)),"",AB10/J10)</x:f>
        <x:v>0.024861878453038673</x:v>
      </x:c>
      <x:c r="AP10" s="16" t="n">
        <x:f>IF(OR(ISBLANK(AC10),ISBLANK(J10)),"",AC10/J10)</x:f>
        <x:v>0.0009208103130755065</x:v>
      </x:c>
      <x:c r="AQ10" s="16" t="n">
        <x:f>IF(OR(ISBLANK(AD10),ISBLANK(J10)),"",AD10/J10)</x:f>
        <x:v>0.0027624309392265192</x:v>
      </x:c>
      <x:c r="AR10" s="16" t="n">
        <x:f>IF(OR(ISBLANK(AF10),ISBLANK(J10)),"",AF10/J10)</x:f>
        <x:v>0.0027624309392265192</x:v>
      </x:c>
      <x:c r="AS10" s="16" t="n">
        <x:f>IF(OR(ISBLANK(Y10),ISBLANK(J10)),"",Y10/J10)</x:f>
        <x:v>0.03130755064456722</x:v>
      </x:c>
      <x:c r="AT10" s="17" t="str">
        <x:v>9D39057D; 6A7390CC; 939E6D3A; 5B403E82; 634469CA</x:v>
      </x:c>
      <x:c r="AU10" s="17" t="str">
        <x:v>The header showed 28 likes and 2 comments, while the detailed page showed 27 likes and 1 comment; detailed values are used because they reconcile exactly to 34 interactions.</x:v>
      </x:c>
    </x:row>
    <x:row r="11" ht="42" customHeight="1">
      <x:c r="A11" s="2" t="str">
        <x:v>unidentified_post_236_views</x:v>
      </x:c>
      <x:c r="B11" s="2" t="str">
        <x:v>partial_unmatched</x:v>
      </x:c>
      <x:c r="C11" s="2" t="str">
        <x:v>Instagram</x:v>
      </x:c>
      <x:c r="D11" s="2"/>
      <x:c r="E11" s="2"/>
      <x:c r="F11" s="2"/>
      <x:c r="G11" s="2" t="str">
        <x:v>Unidentified post; header not supplied</x:v>
      </x:c>
      <x:c r="H11" s="2" t="str">
        <x:v>unknown</x:v>
      </x:c>
      <x:c r="I11" s="14"/>
      <x:c r="J11" s="14" t="n">
        <x:v>236</x:v>
      </x:c>
      <x:c r="K11" s="14"/>
      <x:c r="L11" s="14"/>
      <x:c r="M11" s="14"/>
      <x:c r="N11" s="15"/>
      <x:c r="O11" s="15"/>
      <x:c r="P11" s="15"/>
      <x:c r="Q11" s="15"/>
      <x:c r="R11" s="15"/>
      <x:c r="S11" s="15"/>
      <x:c r="T11" s="15"/>
      <x:c r="U11" s="14"/>
      <x:c r="V11" s="14"/>
      <x:c r="W11" s="15"/>
      <x:c r="X11" s="15"/>
      <x:c r="Y11" s="14" t="n">
        <x:v>5</x:v>
      </x:c>
      <x:c r="Z11" s="15"/>
      <x:c r="AA11" s="15"/>
      <x:c r="AB11" s="14"/>
      <x:c r="AC11" s="14"/>
      <x:c r="AD11" s="14"/>
      <x:c r="AE11" s="14"/>
      <x:c r="AF11" s="14"/>
      <x:c r="AG11" s="14" t="n">
        <x:v>9</x:v>
      </x:c>
      <x:c r="AH11" s="14"/>
      <x:c r="AI11" s="14"/>
      <x:c r="AJ11" s="14"/>
      <x:c r="AK11" s="15"/>
      <x:c r="AL11" s="15"/>
      <x:c r="AM11" s="2"/>
      <x:c r="AN11" s="14"/>
      <x:c r="AO11" s="16" t="str">
        <x:f>IF(OR(ISBLANK(AB11),ISBLANK(J11)),"",AB11/J11)</x:f>
      </x:c>
      <x:c r="AP11" s="16" t="str">
        <x:f>IF(OR(ISBLANK(AC11),ISBLANK(J11)),"",AC11/J11)</x:f>
      </x:c>
      <x:c r="AQ11" s="16" t="str">
        <x:f>IF(OR(ISBLANK(AD11),ISBLANK(J11)),"",AD11/J11)</x:f>
      </x:c>
      <x:c r="AR11" s="16" t="str">
        <x:f>IF(OR(ISBLANK(AF11),ISBLANK(J11)),"",AF11/J11)</x:f>
      </x:c>
      <x:c r="AS11" s="16" t="n">
        <x:f>IF(OR(ISBLANK(Y11),ISBLANK(J11)),"",Y11/J11)</x:f>
        <x:v>0.0211864406779661</x:v>
      </x:c>
      <x:c r="AT11" s="17" t="str">
        <x:v>DEF10025</x:v>
      </x:c>
      <x:c r="AU11" s="17" t="str">
        <x:v>The screenshot did not include the post header, so it could not be safely matched to another record.</x:v>
      </x:c>
    </x:row>
    <x:row r="12" ht="42" customHeight="1">
      <x:c r="A12" s="2" t="str">
        <x:v>unmatched_audience_001</x:v>
      </x:c>
      <x:c r="B12" s="2" t="str">
        <x:v>partial_unmatched</x:v>
      </x:c>
      <x:c r="C12" s="2" t="str">
        <x:v>Instagram</x:v>
      </x:c>
      <x:c r="D12" s="2"/>
      <x:c r="E12" s="2"/>
      <x:c r="F12" s="2"/>
      <x:c r="G12" s="2" t="str">
        <x:v>Unmatched audience screenshot</x:v>
      </x:c>
      <x:c r="H12" s="2" t="str">
        <x:v>unknown</x:v>
      </x:c>
      <x:c r="I12" s="14"/>
      <x:c r="J12" s="14"/>
      <x:c r="K12" s="14"/>
      <x:c r="L12" s="14"/>
      <x:c r="M12" s="14"/>
      <x:c r="N12" s="15"/>
      <x:c r="O12" s="15"/>
      <x:c r="P12" s="15"/>
      <x:c r="Q12" s="15"/>
      <x:c r="R12" s="15"/>
      <x:c r="S12" s="15"/>
      <x:c r="T12" s="15"/>
      <x:c r="U12" s="14"/>
      <x:c r="V12" s="14"/>
      <x:c r="W12" s="15"/>
      <x:c r="X12" s="15"/>
      <x:c r="Y12" s="14"/>
      <x:c r="Z12" s="15"/>
      <x:c r="AA12" s="15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5" t="n">
        <x:v>0.556</x:v>
      </x:c>
      <x:c r="AL12" s="15" t="n">
        <x:v>0.444</x:v>
      </x:c>
      <x:c r="AM12" s="2"/>
      <x:c r="AN12" s="14"/>
      <x:c r="AO12" s="16" t="str">
        <x:f>IF(OR(ISBLANK(AB12),ISBLANK(J12)),"",AB12/J12)</x:f>
      </x:c>
      <x:c r="AP12" s="16" t="str">
        <x:f>IF(OR(ISBLANK(AC12),ISBLANK(J12)),"",AC12/J12)</x:f>
      </x:c>
      <x:c r="AQ12" s="16" t="str">
        <x:f>IF(OR(ISBLANK(AD12),ISBLANK(J12)),"",AD12/J12)</x:f>
      </x:c>
      <x:c r="AR12" s="16" t="str">
        <x:f>IF(OR(ISBLANK(AF12),ISBLANK(J12)),"",AF12/J12)</x:f>
      </x:c>
      <x:c r="AS12" s="16" t="str">
        <x:f>IF(OR(ISBLANK(Y12),ISBLANK(J12)),"",Y12/J12)</x:f>
      </x:c>
      <x:c r="AT12" s="17" t="str">
        <x:v>86D1315E</x:v>
      </x:c>
      <x:c r="AU12" s="17" t="str">
        <x:v>The screenshot contained only gender percentages and could not be safely linked to a post.</x:v>
      </x:c>
    </x:row>
    <x:row r="13" ht="42" customHeight="1">
      <x:c r="A13" s="2" t="str">
        <x:v>unmatched_audience_002</x:v>
      </x:c>
      <x:c r="B13" s="2" t="str">
        <x:v>partial_unmatched</x:v>
      </x:c>
      <x:c r="C13" s="2" t="str">
        <x:v>Instagram</x:v>
      </x:c>
      <x:c r="D13" s="2"/>
      <x:c r="E13" s="2"/>
      <x:c r="F13" s="2"/>
      <x:c r="G13" s="2" t="str">
        <x:v>Unmatched audience screenshot</x:v>
      </x:c>
      <x:c r="H13" s="2" t="str">
        <x:v>unknown</x:v>
      </x:c>
      <x:c r="I13" s="14"/>
      <x:c r="J13" s="14"/>
      <x:c r="K13" s="14"/>
      <x:c r="L13" s="14"/>
      <x:c r="M13" s="14"/>
      <x:c r="N13" s="15"/>
      <x:c r="O13" s="15"/>
      <x:c r="P13" s="15"/>
      <x:c r="Q13" s="15"/>
      <x:c r="R13" s="15"/>
      <x:c r="S13" s="15"/>
      <x:c r="T13" s="15"/>
      <x:c r="U13" s="14"/>
      <x:c r="V13" s="14"/>
      <x:c r="W13" s="15"/>
      <x:c r="X13" s="15"/>
      <x:c r="Y13" s="14"/>
      <x:c r="Z13" s="15"/>
      <x:c r="AA13" s="15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5" t="n">
        <x:v>0.447</x:v>
      </x:c>
      <x:c r="AL13" s="15" t="n">
        <x:v>0.553</x:v>
      </x:c>
      <x:c r="AM13" s="2"/>
      <x:c r="AN13" s="14"/>
      <x:c r="AO13" s="16" t="str">
        <x:f>IF(OR(ISBLANK(AB13),ISBLANK(J13)),"",AB13/J13)</x:f>
      </x:c>
      <x:c r="AP13" s="16" t="str">
        <x:f>IF(OR(ISBLANK(AC13),ISBLANK(J13)),"",AC13/J13)</x:f>
      </x:c>
      <x:c r="AQ13" s="16" t="str">
        <x:f>IF(OR(ISBLANK(AD13),ISBLANK(J13)),"",AD13/J13)</x:f>
      </x:c>
      <x:c r="AR13" s="16" t="str">
        <x:f>IF(OR(ISBLANK(AF13),ISBLANK(J13)),"",AF13/J13)</x:f>
      </x:c>
      <x:c r="AS13" s="16" t="str">
        <x:f>IF(OR(ISBLANK(Y13),ISBLANK(J13)),"",Y13/J13)</x:f>
      </x:c>
      <x:c r="AT13" s="17" t="str">
        <x:v>E28A0DF7</x:v>
      </x:c>
      <x:c r="AU13" s="17" t="str">
        <x:v>The screenshot contained only gender percentages and could not be safely linked to a post.</x:v>
      </x:c>
    </x:row>
  </x:sheetData>
  <x:pageMargins left="0.7" right="0.7" top="0.75" bottom="0.75" header="0.3" footer="0.3"/>
  <x:tableParts count="1">
    <x:tablePart xmlns:r="http://schemas.openxmlformats.org/officeDocument/2006/relationships" r:id="R4ae034673c6b4ec9"/>
  </x:tableParts>
</x:worksheet>
</file>